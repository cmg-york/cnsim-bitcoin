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4. Software\cnsim-bitcoin\examples\configs\size\"/>
    </mc:Choice>
  </mc:AlternateContent>
  <xr:revisionPtr revIDLastSave="0" documentId="13_ncr:1_{F4DDD641-0B41-4069-B0E7-106EC7FBEF83}" xr6:coauthVersionLast="47" xr6:coauthVersionMax="47" xr10:uidLastSave="{00000000-0000-0000-0000-000000000000}"/>
  <bookViews>
    <workbookView xWindow="28680" yWindow="-120" windowWidth="29040" windowHeight="15720" xr2:uid="{A17CA9E1-43A7-4791-8A4C-E00832BED5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L15" i="1" s="1"/>
  <c r="C7" i="1"/>
  <c r="G3" i="1"/>
  <c r="C32" i="1"/>
  <c r="C31" i="1"/>
  <c r="E29" i="1"/>
  <c r="C30" i="1"/>
  <c r="E30" i="1" s="1"/>
  <c r="C20" i="1"/>
  <c r="E7" i="1"/>
  <c r="C4" i="1"/>
  <c r="C13" i="1"/>
  <c r="C14" i="1" s="1"/>
  <c r="C16" i="1"/>
  <c r="I3" i="1"/>
  <c r="G29" i="1" l="1"/>
  <c r="I29" i="1" s="1"/>
  <c r="C22" i="1"/>
  <c r="C17" i="1"/>
  <c r="C18" i="1"/>
  <c r="G4" i="1"/>
  <c r="I4" i="1" s="1"/>
  <c r="E17" i="1" l="1"/>
  <c r="C21" i="1"/>
  <c r="C23" i="1" s="1"/>
  <c r="C25" i="1" s="1"/>
  <c r="E25" i="1" s="1"/>
  <c r="C24" i="1"/>
  <c r="G30" i="1"/>
  <c r="I30" i="1" s="1"/>
  <c r="E18" i="1"/>
  <c r="G11" i="1"/>
  <c r="C27" i="1" l="1"/>
  <c r="E27" i="1" s="1"/>
  <c r="E24" i="1"/>
  <c r="G12" i="1"/>
  <c r="I12" i="1" s="1"/>
  <c r="I11" i="1"/>
</calcChain>
</file>

<file path=xl/sharedStrings.xml><?xml version="1.0" encoding="utf-8"?>
<sst xmlns="http://schemas.openxmlformats.org/spreadsheetml/2006/main" count="54" uniqueCount="38">
  <si>
    <t>lamda</t>
  </si>
  <si>
    <t>tx Size</t>
  </si>
  <si>
    <t>tx/sec</t>
  </si>
  <si>
    <t>bytes</t>
  </si>
  <si>
    <t>bytes/sec</t>
  </si>
  <si>
    <t>bytes/min</t>
  </si>
  <si>
    <t>difficulty</t>
  </si>
  <si>
    <t>total power</t>
  </si>
  <si>
    <t>Gh/sec</t>
  </si>
  <si>
    <t>hashes</t>
  </si>
  <si>
    <t>node power</t>
  </si>
  <si>
    <t>nodes</t>
  </si>
  <si>
    <t>sec</t>
  </si>
  <si>
    <t>pace mean</t>
  </si>
  <si>
    <t>Input:</t>
  </si>
  <si>
    <t>Output:</t>
  </si>
  <si>
    <t>pace s.d.</t>
  </si>
  <si>
    <t>expected trials</t>
  </si>
  <si>
    <t>sd. Trials</t>
  </si>
  <si>
    <t>block size</t>
  </si>
  <si>
    <t>tx/min</t>
  </si>
  <si>
    <t>tx Num</t>
  </si>
  <si>
    <t>blocks needed</t>
  </si>
  <si>
    <t>workload duration</t>
  </si>
  <si>
    <t>max tx per block</t>
  </si>
  <si>
    <t>min validation duration</t>
  </si>
  <si>
    <t>sim duration</t>
  </si>
  <si>
    <t>Network throughput mean</t>
  </si>
  <si>
    <t>Network throughput sd</t>
  </si>
  <si>
    <t>bps</t>
  </si>
  <si>
    <t>Mean transaction broadcast time</t>
  </si>
  <si>
    <t>Mean block broadcast time</t>
  </si>
  <si>
    <t>Sync:</t>
  </si>
  <si>
    <t>expected tx per block</t>
  </si>
  <si>
    <t>blocks expected</t>
  </si>
  <si>
    <t>expected validation duration</t>
  </si>
  <si>
    <t>required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</si>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</sst>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0_-;\-* #,##0.000_-;_-* &quot;-&quot;??_-;_-@_-"/>
    <numFmt numFmtId="166" formatCode="_-* #,##0_-;\-* #,##0_-;_-* &quot;-&quot;??_-;_-@_-"/>
    <numFmt numFmtId="171" formatCode="0.000E+00"/>
    <numFmt numFmtId="185" formatCode="[h]:mm:ss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</cellStyleXfs>
  <cellXfs count="18">
    <xf numFmtId="0" fontId="0" fillId="0" borderId="0" xfId="0"/>
    <xf numFmtId="164" fontId="0" fillId="0" borderId="0" xfId="1" applyNumberFormat="1" applyFont="1"/>
    <xf numFmtId="43" fontId="0" fillId="0" borderId="0" xfId="1" applyNumberFormat="1" applyFont="1"/>
    <xf numFmtId="166" fontId="0" fillId="0" borderId="0" xfId="1" applyNumberFormat="1" applyFont="1"/>
    <xf numFmtId="0" fontId="0" fillId="0" borderId="0" xfId="0" applyAlignment="1">
      <alignment wrapText="1"/>
    </xf>
    <xf numFmtId="0" fontId="3" fillId="0" borderId="0" xfId="0" applyFont="1"/>
    <xf numFmtId="11" fontId="0" fillId="0" borderId="0" xfId="1" applyNumberFormat="1" applyFont="1"/>
    <xf numFmtId="2" fontId="0" fillId="0" borderId="0" xfId="1" applyNumberFormat="1" applyFont="1"/>
    <xf numFmtId="1" fontId="0" fillId="0" borderId="0" xfId="1" applyNumberFormat="1" applyFont="1"/>
    <xf numFmtId="171" fontId="0" fillId="0" borderId="0" xfId="1" applyNumberFormat="1" applyFont="1"/>
    <xf numFmtId="43" fontId="0" fillId="0" borderId="0" xfId="0" applyNumberFormat="1"/>
    <xf numFmtId="1" fontId="0" fillId="0" borderId="0" xfId="0" applyNumberFormat="1"/>
    <xf numFmtId="2" fontId="0" fillId="0" borderId="0" xfId="0" applyNumberFormat="1"/>
    <xf numFmtId="185" fontId="0" fillId="0" borderId="0" xfId="0" applyNumberFormat="1"/>
    <xf numFmtId="164" fontId="0" fillId="0" borderId="0" xfId="0" applyNumberFormat="1"/>
    <xf numFmtId="166" fontId="2" fillId="2" borderId="1" xfId="2" applyNumberFormat="1"/>
    <xf numFmtId="11" fontId="2" fillId="2" borderId="1" xfId="2" applyNumberFormat="1"/>
    <xf numFmtId="164" fontId="2" fillId="2" borderId="1" xfId="2" applyNumberFormat="1"/>
  </cellXfs>
  <cellStyles count="3">
    <cellStyle name="Comma" xfId="1" builtinId="3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1F1176-2EA9-4154-95FE-9FB8CEC50F4A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4E49-E04A-4073-B50A-7CE1E229ACA7}">
  <dimension ref="B3:L35"/>
  <sheetViews>
    <sheetView tabSelected="1" zoomScale="175" zoomScaleNormal="175" workbookViewId="0">
      <selection activeCell="B8" sqref="B8"/>
    </sheetView>
  </sheetViews>
  <sheetFormatPr defaultRowHeight="15" x14ac:dyDescent="0.25"/>
  <cols>
    <col min="2" max="2" width="30.85546875" bestFit="1" customWidth="1"/>
    <col min="3" max="3" width="11.85546875" style="1" bestFit="1" customWidth="1"/>
    <col min="4" max="4" width="11.85546875" bestFit="1" customWidth="1"/>
    <col min="5" max="5" width="10.42578125" bestFit="1" customWidth="1"/>
    <col min="6" max="6" width="7.85546875" bestFit="1" customWidth="1"/>
    <col min="7" max="7" width="8.42578125" bestFit="1" customWidth="1"/>
    <col min="8" max="8" width="9.7109375" bestFit="1" customWidth="1"/>
    <col min="9" max="9" width="10.140625" bestFit="1" customWidth="1"/>
  </cols>
  <sheetData>
    <row r="3" spans="2:12" x14ac:dyDescent="0.25">
      <c r="B3" t="s">
        <v>0</v>
      </c>
      <c r="C3" s="17">
        <v>2.5000000000000001E-2</v>
      </c>
      <c r="D3" t="s">
        <v>2</v>
      </c>
      <c r="F3" s="5" t="s">
        <v>14</v>
      </c>
      <c r="G3">
        <f>C3*C5</f>
        <v>250</v>
      </c>
      <c r="H3" t="s">
        <v>4</v>
      </c>
      <c r="I3" s="4" t="str">
        <f>IF(G3=0,0,
 G3/10^(3*INT(LOG10(ABS(G3))/3)) &amp;
 CHOOSE(INT(LOG10(ABS(G3))/3)+9,
 "y","z","a","f","p","n","µ","m","","k","M","G","T","P","E","Z","Y"))</f>
        <v>250</v>
      </c>
    </row>
    <row r="4" spans="2:12" x14ac:dyDescent="0.25">
      <c r="B4" t="s">
        <v>0</v>
      </c>
      <c r="C4" s="1">
        <f>C3*60</f>
        <v>1.5</v>
      </c>
      <c r="D4" t="s">
        <v>20</v>
      </c>
      <c r="G4">
        <f>G3*60</f>
        <v>15000</v>
      </c>
      <c r="H4" t="s">
        <v>5</v>
      </c>
      <c r="I4" s="4" t="str">
        <f>IF(G4=0,0,
 G4/10^(3*INT(LOG10(ABS(G4))/3)) &amp;
 CHOOSE(INT(LOG10(ABS(G4))/3)+9,
 "y","z","a","f","p","n","µ","m","","k","M","G","T","P","E","Z","Y"))</f>
        <v>15k</v>
      </c>
    </row>
    <row r="5" spans="2:12" x14ac:dyDescent="0.25">
      <c r="B5" t="s">
        <v>1</v>
      </c>
      <c r="C5" s="15">
        <v>10000</v>
      </c>
      <c r="D5" t="s">
        <v>3</v>
      </c>
    </row>
    <row r="6" spans="2:12" x14ac:dyDescent="0.25">
      <c r="B6" t="s">
        <v>21</v>
      </c>
      <c r="C6" s="3">
        <v>300</v>
      </c>
    </row>
    <row r="7" spans="2:12" x14ac:dyDescent="0.25">
      <c r="B7" t="s">
        <v>23</v>
      </c>
      <c r="C7" s="3">
        <f>C6/C3</f>
        <v>12000</v>
      </c>
      <c r="D7" t="s">
        <v>12</v>
      </c>
      <c r="E7" s="13">
        <f>C7/86400</f>
        <v>0.1388888888888889</v>
      </c>
    </row>
    <row r="11" spans="2:12" x14ac:dyDescent="0.25">
      <c r="B11" t="s">
        <v>11</v>
      </c>
      <c r="C11" s="8">
        <v>30</v>
      </c>
      <c r="F11" s="5" t="s">
        <v>15</v>
      </c>
      <c r="G11" s="11">
        <f>C19/C18</f>
        <v>250.00000000000009</v>
      </c>
      <c r="H11" t="s">
        <v>4</v>
      </c>
      <c r="I11" s="4" t="str">
        <f>IF(G11=0,0,
ROUND(G11/10^(3*INT(LOG10(ABS(G11))/3)),2)&amp;
CHOOSE(INT(LOG10(ABS(G11))/3)+9,
"y","z","a","f","p","n","µ","m","","k","M","G","T","P","E","Z","Y"))</f>
        <v>250</v>
      </c>
    </row>
    <row r="12" spans="2:12" x14ac:dyDescent="0.25">
      <c r="B12" t="s">
        <v>6</v>
      </c>
      <c r="C12" s="9">
        <v>4.3933890848757102E+23</v>
      </c>
      <c r="G12" s="8">
        <f>G11*60</f>
        <v>15000.000000000005</v>
      </c>
      <c r="H12" t="s">
        <v>5</v>
      </c>
      <c r="I12" s="4" t="str">
        <f>IF(G12=0,0,
ROUND(G12/10^(3*INT(LOG10(ABS(G12))/3)),2)&amp;
CHOOSE(INT(LOG10(ABS(G12))/3)+9,
"y","z","a","f","p","n","µ","m","","k","M","G","T","P","E","Z","Y"))</f>
        <v>15k</v>
      </c>
    </row>
    <row r="13" spans="2:12" x14ac:dyDescent="0.25">
      <c r="B13" t="s">
        <v>17</v>
      </c>
      <c r="C13" s="9">
        <f>C12</f>
        <v>4.3933890848757102E+23</v>
      </c>
      <c r="D13" t="s">
        <v>9</v>
      </c>
    </row>
    <row r="14" spans="2:12" x14ac:dyDescent="0.25">
      <c r="B14" t="s">
        <v>18</v>
      </c>
      <c r="C14" s="9">
        <f>C13*SQRT(1-1/C13)</f>
        <v>4.3933890848757102E+23</v>
      </c>
      <c r="D14" t="s">
        <v>9</v>
      </c>
    </row>
    <row r="15" spans="2:12" x14ac:dyDescent="0.25">
      <c r="B15" t="s">
        <v>10</v>
      </c>
      <c r="C15" s="16">
        <v>57289334000</v>
      </c>
      <c r="D15" t="s">
        <v>8</v>
      </c>
      <c r="J15">
        <v>439</v>
      </c>
      <c r="K15">
        <f>J15/J16</f>
        <v>0.35983606557377051</v>
      </c>
      <c r="L15">
        <f>K15*L16</f>
        <v>3.598360655737705</v>
      </c>
    </row>
    <row r="16" spans="2:12" x14ac:dyDescent="0.25">
      <c r="B16" t="s">
        <v>7</v>
      </c>
      <c r="C16" s="6">
        <f>C15*C11</f>
        <v>1718680020000</v>
      </c>
      <c r="D16" t="s">
        <v>8</v>
      </c>
      <c r="J16">
        <v>1220</v>
      </c>
      <c r="L16">
        <v>10</v>
      </c>
    </row>
    <row r="17" spans="2:10" x14ac:dyDescent="0.25">
      <c r="B17" t="s">
        <v>13</v>
      </c>
      <c r="C17" s="7">
        <f>C13/(C16*1000000000)</f>
        <v>255.62577290423789</v>
      </c>
      <c r="D17" t="s">
        <v>12</v>
      </c>
      <c r="E17" s="13">
        <f>C17/86400</f>
        <v>2.9586316308360867E-3</v>
      </c>
    </row>
    <row r="18" spans="2:10" x14ac:dyDescent="0.25">
      <c r="B18" t="s">
        <v>16</v>
      </c>
      <c r="C18" s="7">
        <f>C14/(C16*1000000000)</f>
        <v>255.62577290423789</v>
      </c>
      <c r="D18" t="s">
        <v>12</v>
      </c>
      <c r="E18" s="13">
        <f>C18/86400</f>
        <v>2.9586316308360867E-3</v>
      </c>
    </row>
    <row r="19" spans="2:10" x14ac:dyDescent="0.25">
      <c r="B19" t="s">
        <v>19</v>
      </c>
      <c r="C19" s="15">
        <v>63906.443226059491</v>
      </c>
      <c r="D19" t="s">
        <v>3</v>
      </c>
    </row>
    <row r="20" spans="2:10" x14ac:dyDescent="0.25">
      <c r="B20" t="s">
        <v>24</v>
      </c>
      <c r="C20" s="2">
        <f>C19/C5</f>
        <v>6.3906443226059491</v>
      </c>
    </row>
    <row r="21" spans="2:10" x14ac:dyDescent="0.25">
      <c r="B21" t="s">
        <v>33</v>
      </c>
      <c r="C21" s="2">
        <f>MIN(C17*C3,C20)</f>
        <v>6.3906443226059473</v>
      </c>
    </row>
    <row r="22" spans="2:10" x14ac:dyDescent="0.25">
      <c r="B22" t="s">
        <v>22</v>
      </c>
      <c r="C22" s="8">
        <f>_xlfn.CEILING.MATH(C6/C20)</f>
        <v>47</v>
      </c>
    </row>
    <row r="23" spans="2:10" x14ac:dyDescent="0.25">
      <c r="B23" t="s">
        <v>34</v>
      </c>
      <c r="C23" s="8">
        <f>C6/C21</f>
        <v>46.943623343079025</v>
      </c>
    </row>
    <row r="24" spans="2:10" x14ac:dyDescent="0.25">
      <c r="B24" t="s">
        <v>25</v>
      </c>
      <c r="C24" s="8">
        <f xml:space="preserve"> C22*C18</f>
        <v>12014.411326499181</v>
      </c>
      <c r="D24" t="s">
        <v>12</v>
      </c>
      <c r="E24" s="13">
        <f>C24/86400</f>
        <v>0.13905568664929607</v>
      </c>
    </row>
    <row r="25" spans="2:10" x14ac:dyDescent="0.25">
      <c r="B25" t="s">
        <v>35</v>
      </c>
      <c r="C25" s="8">
        <f>C23*C18</f>
        <v>12000</v>
      </c>
      <c r="D25" t="s">
        <v>12</v>
      </c>
      <c r="E25" s="13">
        <f>C25/86400</f>
        <v>0.1388888888888889</v>
      </c>
    </row>
    <row r="26" spans="2:10" x14ac:dyDescent="0.25">
      <c r="C26" s="8"/>
    </row>
    <row r="27" spans="2:10" x14ac:dyDescent="0.25">
      <c r="B27" t="s">
        <v>26</v>
      </c>
      <c r="C27" s="8">
        <f>MAX(C24,C7)+C24</f>
        <v>24028.822652998362</v>
      </c>
      <c r="D27" t="s">
        <v>12</v>
      </c>
      <c r="E27" s="13">
        <f>C27/86400</f>
        <v>0.27811137329859215</v>
      </c>
    </row>
    <row r="29" spans="2:10" x14ac:dyDescent="0.25">
      <c r="B29" t="s">
        <v>27</v>
      </c>
      <c r="C29" s="16">
        <v>25000000</v>
      </c>
      <c r="D29" t="s">
        <v>29</v>
      </c>
      <c r="E29" s="4" t="str">
        <f>IF(C29=0,0,
ROUND(C29/10^(3*INT(LOG10(ABS(C29))/3)),2)&amp;
CHOOSE(INT(LOG10(ABS(C29))/3)+9,
"y","z","a","f","p","n","µ","m","","k","M","G","T","P","E","Z","Y"))</f>
        <v>25M</v>
      </c>
      <c r="F29" s="5" t="s">
        <v>32</v>
      </c>
      <c r="G29" s="14">
        <f>MAX(C31:C32)</f>
        <v>7.6687731871271383E-2</v>
      </c>
      <c r="H29" t="s">
        <v>12</v>
      </c>
      <c r="I29" s="13">
        <f>G29/86400</f>
        <v>8.8758948925082622E-7</v>
      </c>
      <c r="J29" t="s">
        <v>36</v>
      </c>
    </row>
    <row r="30" spans="2:10" x14ac:dyDescent="0.25">
      <c r="B30" t="s">
        <v>28</v>
      </c>
      <c r="C30" s="6">
        <f>C29/10</f>
        <v>2500000</v>
      </c>
      <c r="D30" t="s">
        <v>29</v>
      </c>
      <c r="E30" s="4" t="str">
        <f>IF(C30=0,0,
ROUND(C30/10^(3*INT(LOG10(ABS(C30))/3)),2)&amp;
CHOOSE(INT(LOG10(ABS(C30))/3)+9,
"y","z","a","f","p","n","µ","m","","k","M","G","T","P","E","Z","Y"))</f>
        <v>2.5M</v>
      </c>
      <c r="G30" s="12">
        <f>C18</f>
        <v>255.62577290423789</v>
      </c>
      <c r="H30" t="s">
        <v>12</v>
      </c>
      <c r="I30" s="13">
        <f>G30/86400</f>
        <v>2.9586316308360867E-3</v>
      </c>
      <c r="J30" t="s">
        <v>37</v>
      </c>
    </row>
    <row r="31" spans="2:10" x14ac:dyDescent="0.25">
      <c r="B31" t="s">
        <v>30</v>
      </c>
      <c r="C31" s="1">
        <f>(C5/C29)*C11</f>
        <v>1.2E-2</v>
      </c>
      <c r="D31" t="s">
        <v>12</v>
      </c>
    </row>
    <row r="32" spans="2:10" x14ac:dyDescent="0.25">
      <c r="B32" t="s">
        <v>31</v>
      </c>
      <c r="C32" s="1">
        <f>(C19/C29)*C11</f>
        <v>7.6687731871271383E-2</v>
      </c>
      <c r="D32" t="s">
        <v>12</v>
      </c>
    </row>
    <row r="35" spans="3:4" x14ac:dyDescent="0.25">
      <c r="C35"/>
      <c r="D3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Sotirios Liaskos</dc:creator>
  <cp:lastModifiedBy>Sotirios Liaskos</cp:lastModifiedBy>
  <dcterms:created xsi:type="dcterms:W3CDTF">2026-04-01T12:21:07Z</dcterms:created>
  <dcterms:modified xsi:type="dcterms:W3CDTF">2026-04-05T05:07:46Z</dcterms:modified>
</cp:coreProperties>
</file>